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enny\OneDrive\Escritorio\QA Team\Quantiica\Chatbot UMM\Evidencia\"/>
    </mc:Choice>
  </mc:AlternateContent>
  <xr:revisionPtr revIDLastSave="0" documentId="13_ncr:1_{CC07DDFB-4C6D-4DFB-B0A8-C0F179221697}" xr6:coauthVersionLast="47" xr6:coauthVersionMax="47" xr10:uidLastSave="{00000000-0000-0000-0000-000000000000}"/>
  <bookViews>
    <workbookView xWindow="-28920" yWindow="-1815" windowWidth="29040" windowHeight="15720" xr2:uid="{BC65F5E8-D1F3-4835-9F21-D93DAC04D1AB}"/>
  </bookViews>
  <sheets>
    <sheet name="BugList" sheetId="1" r:id="rId1"/>
  </sheets>
  <externalReferences>
    <externalReference r:id="rId2"/>
  </externalReferences>
  <definedNames>
    <definedName name="_xlnm._FilterDatabase" localSheetId="0" hidden="1">BugList!$A$16:$H$57</definedName>
    <definedName name="Cumplimiento">[1]Data!$B$2:$B$5</definedName>
    <definedName name="EstadoRevision">[1]Data!$A$2:$A$5</definedName>
    <definedName name="Tipo">[1]Data!$C$2:$C$5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5" i="1"/>
  <c r="E5" i="1"/>
  <c r="H5" i="1" l="1"/>
  <c r="F6" i="1" s="1"/>
  <c r="E6" i="1" l="1"/>
  <c r="G6" i="1"/>
</calcChain>
</file>

<file path=xl/sharedStrings.xml><?xml version="1.0" encoding="utf-8"?>
<sst xmlns="http://schemas.openxmlformats.org/spreadsheetml/2006/main" count="283" uniqueCount="124">
  <si>
    <t>ID</t>
  </si>
  <si>
    <t>Título</t>
  </si>
  <si>
    <t>Estado</t>
  </si>
  <si>
    <t>Prioridad</t>
  </si>
  <si>
    <t>Canal</t>
  </si>
  <si>
    <t>Fecha de detección</t>
  </si>
  <si>
    <t>Asignada a:</t>
  </si>
  <si>
    <t>INC-001</t>
  </si>
  <si>
    <t>Al cerrar (Botones Salir y X) el chat, no se reinicia la interacción ni se solicita nuevamente el nombre del usuario</t>
  </si>
  <si>
    <t>Pendiente</t>
  </si>
  <si>
    <t>Media</t>
  </si>
  <si>
    <t>Chat</t>
  </si>
  <si>
    <t>INC-002</t>
  </si>
  <si>
    <t>Los correos electrónicos no se muestran correctamente en las respuestas del bot; aparecen enmascarados.</t>
  </si>
  <si>
    <t>Alexis Mora Leyva</t>
  </si>
  <si>
    <t>INC-003</t>
  </si>
  <si>
    <t>No se está generando el lead correctamente tras recibir los datos del usuario</t>
  </si>
  <si>
    <t>Resuelto</t>
  </si>
  <si>
    <t>Alta</t>
  </si>
  <si>
    <t>INC-004</t>
  </si>
  <si>
    <t>El bot deja de responder</t>
  </si>
  <si>
    <t>INC-005</t>
  </si>
  <si>
    <t>Inconsistencia en la modalidad AulaFlex para Maestría en Derecho Penal</t>
  </si>
  <si>
    <t>INC-006</t>
  </si>
  <si>
    <t>El sistema acepta como válidos Turnos y Sedes que no corresponden a la Modalidad/Carrera</t>
  </si>
  <si>
    <t>INC-007</t>
  </si>
  <si>
    <t>Licenciatura en Enfermería en modalidad AulaFlex indica tener turno nocturno, pero luego lo niega</t>
  </si>
  <si>
    <t>Baja</t>
  </si>
  <si>
    <t>INC-008</t>
  </si>
  <si>
    <t>Leonardo AI genera la respuesta pero tardan en verse reflejadas en el front</t>
  </si>
  <si>
    <t>Francisco Gonzalez Antonio</t>
  </si>
  <si>
    <t>INC-009</t>
  </si>
  <si>
    <t>Leonardo AI no proporciona información de costos de carreras</t>
  </si>
  <si>
    <t>INC-010</t>
  </si>
  <si>
    <t>Sin respuesta en interacción (timeout y/o lentitud Bedrock)</t>
  </si>
  <si>
    <t>INC-011</t>
  </si>
  <si>
    <t>Leonardo AI no permite cambiar de modalidad cuando ya hay una asignada al prospecto/usuario</t>
  </si>
  <si>
    <t>INC-012</t>
  </si>
  <si>
    <t>Leonardo AI responde como si fueras interesado, aunque se indicó que ya eres estudiante</t>
  </si>
  <si>
    <t>INC-013</t>
  </si>
  <si>
    <t>Inconsistencia en saltos de línea en respuestas del bot</t>
  </si>
  <si>
    <t>INC-014</t>
  </si>
  <si>
    <t>Leonardo AI indica que la Prepa Bivalente en Enfermería no está disponible en AulaFlex, cuando esa es su única modalidad</t>
  </si>
  <si>
    <t>INC-015</t>
  </si>
  <si>
    <t>Leonardo AI indica que la carrera Contador Público y Finanzas no está disponible en modalidad AulaFlex, aunque sí lo está</t>
  </si>
  <si>
    <t>INC-016</t>
  </si>
  <si>
    <t>Leonardo AI no deriva correctamente solicitud de revisión de exámenes</t>
  </si>
  <si>
    <t>INC-017</t>
  </si>
  <si>
    <t>El nombre de la carrera “Licenciatura en Comportamiento Organizacional” se está guardando incorrectamente en Chatwoot</t>
  </si>
  <si>
    <t>INC-018</t>
  </si>
  <si>
    <t>Inconsistencia en disponibilidad de modalidad en línea para Ingenierías</t>
  </si>
  <si>
    <t>INC-019</t>
  </si>
  <si>
    <t>Alumno comenta que está en modalidad Ejecutivo Aulaflex (solo turno nocturno), Leonardo pregunta si está en turno matutino o vespertino</t>
  </si>
  <si>
    <t>INC-020</t>
  </si>
  <si>
    <t>Prospecto indica que está buscando opciones de estudio y Leonardo le vuelve a preguntar si es estudiante o busca información</t>
  </si>
  <si>
    <t>INC-021</t>
  </si>
  <si>
    <t>INC-022</t>
  </si>
  <si>
    <t>INC-023</t>
  </si>
  <si>
    <t>INC-024</t>
  </si>
  <si>
    <t>INC-025</t>
  </si>
  <si>
    <t>INC-026</t>
  </si>
  <si>
    <t>INC-027</t>
  </si>
  <si>
    <t>INC-028</t>
  </si>
  <si>
    <t>INC-029</t>
  </si>
  <si>
    <t>INC-030</t>
  </si>
  <si>
    <t>INC-031</t>
  </si>
  <si>
    <t>Leonardo AI no reconoce que AulaFlex es una modalidad presencial al informar sobre varias carreras</t>
  </si>
  <si>
    <t>Leonardo AI indica que la carrera de Cirujano Dentista tiene turnos matutino y vespertino, cuando solo se ofrece en turno matutino</t>
  </si>
  <si>
    <t>Link</t>
  </si>
  <si>
    <t>https://www.notion.so/Al-cerrar-Botones-Salir-y-X-el-chat-no-se-reinicia-la-interacci-n-ni-se-solicita-nuevamente-el-no-28dc29080517806b9aacc8097d0444e2?v=28dc2908051780a3b129000c18d2171d&amp;source=copy_link</t>
  </si>
  <si>
    <t>https://www.notion.so/Los-correos-electr-nicos-no-se-muestran-correctamente-en-las-respuestas-del-bot-aparecen-enmascarad-28dc2908051780aa941ac354606f593f?v=28dc2908051780a3b129000c18d2171d&amp;source=copy_link</t>
  </si>
  <si>
    <t>https://www.notion.so/No-se-est-generando-el-lead-correctamente-tras-recibir-los-datos-del-usuario-28dc2908051780dda5a2ecaf0b0862b0?v=28dc2908051780a3b129000c18d2171d&amp;source=copy_link</t>
  </si>
  <si>
    <t>https://www.notion.so/El-bot-deja-de-responder-28dc2908051780a89fd5c8bffdb09e2d?v=28dc2908051780a3b129000c18d2171d&amp;source=copy_link</t>
  </si>
  <si>
    <t>https://www.notion.so/Inconsistencia-en-la-modalidad-AulaFlex-para-Maestr-a-en-Derecho-Penal-28dc290805178044acd1ca2c773d5f67?v=28dc2908051780a3b129000c18d2171d&amp;source=copy_link</t>
  </si>
  <si>
    <t>https://www.notion.so/El-sistema-acepta-como-v-lidos-Turnos-y-Sedes-que-no-corresponden-a-la-Modalidad-Carrera-28dc2908051780bb8377d999dc4c5833?v=28dc2908051780a3b129000c18d2171d&amp;source=copy_link</t>
  </si>
  <si>
    <t>https://www.notion.so/Leonardo-AI-indica-que-la-carrera-de-Cirujano-Dentista-tiene-turnos-matutino-y-vespertino-cuando-so-299c290805178017baaef1dfb4d609f9?v=28dc2908051780a3b129000c18d2171d&amp;source=copy_link</t>
  </si>
  <si>
    <t>https://www.notion.so/Leonardo-AI-no-reconoce-que-AulaFlex-es-una-modalidad-presencial-al-informar-sobre-varias-carreras-299c290805178014bf9cc526267689da?v=28dc2908051780a3b129000c18d2171d&amp;source=copy_link</t>
  </si>
  <si>
    <t>https://www.notion.so/Prospecto-indica-que-est-buscando-opciones-de-estudio-y-Leonardo-le-vuelve-a-preguntar-si-es-estudi-299c2908051780b582a0d253afd238fc?v=28dc2908051780a3b129000c18d2171d&amp;source=copy_link</t>
  </si>
  <si>
    <t>https://www.notion.so/Alumno-comenta-que-est-en-modalidad-Ejecutivo-Aulaflex-solo-turno-nocturno-Leonardo-pregunta-si--299c290805178003895cc2674de4d974?v=28dc2908051780a3b129000c18d2171d&amp;source=copy_link</t>
  </si>
  <si>
    <t>https://www.notion.so/Licenciatura-en-Enfermer-a-en-modalidad-AulaFlex-indica-tener-turno-nocturno-pero-luego-lo-niega-28fc290805178096aa74f357d54c38f1?v=28dc2908051780a3b129000c18d2171d&amp;source=copy_link</t>
  </si>
  <si>
    <t>https://www.notion.so/Leonardo-AI-genera-la-respuesta-pero-tardan-en-verse-reflejadas-en-el-front-28dc2908051780d189e2c83931742453?v=28dc2908051780a3b129000c18d2171d&amp;source=copy_link</t>
  </si>
  <si>
    <t>https://www.notion.so/Leonardo-AI-no-proporciona-informaci-n-de-costos-de-carreras-28dc2908051780ee9d6cf7a810c6f1fe?v=28dc2908051780a3b129000c18d2171d&amp;source=copy_link</t>
  </si>
  <si>
    <t>https://www.notion.so/Sin-respuesta-en-interacci-n-timeout-y-o-lentitud-Bedrock-28dc290805178040bd9ce547793872b1?v=28dc2908051780a3b129000c18d2171d&amp;source=copy_link</t>
  </si>
  <si>
    <t>https://www.notion.so/Leonardo-AI-no-permite-cambiar-de-modalidad-cuando-ya-hay-una-asignada-al-prospecto-usuario-293c29080517809186e6e456078b5dcd?v=28dc2908051780a3b129000c18d2171d&amp;source=copy_link</t>
  </si>
  <si>
    <t>https://www.notion.so/Inconsistencia-en-saltos-de-l-nea-en-respuestas-del-bot-294c2908051780bba465e5df3004b5b6?v=28dc2908051780a3b129000c18d2171d&amp;source=copy_link</t>
  </si>
  <si>
    <t>https://www.notion.so/Leonardo-AI-indica-que-la-Prepa-Bivalente-en-Enfermer-a-no-est-disponible-en-AulaFlex-cuando-esa-e-294c290805178059b3ffe646f62bde7c?v=28dc2908051780a3b129000c18d2171d&amp;source=copy_link</t>
  </si>
  <si>
    <t>https://www.notion.so/Leonardo-AI-indica-que-la-carrera-Contador-P-blico-y-Finanzas-no-est-disponible-en-modalidad-AulaFl-294c290805178011b85beb2f14e488af?v=28dc2908051780a3b129000c18d2171d&amp;source=copy_link</t>
  </si>
  <si>
    <t>https://www.notion.so/Leonardo-AI-no-deriva-correctamente-solicitud-de-revisi-n-de-ex-menes-294c2908051780be8163ee24db2ac2de?v=28dc2908051780a3b129000c18d2171d&amp;source=copy_link</t>
  </si>
  <si>
    <t>https://www.notion.so/El-nombre-de-la-carrera-Licenciatura-en-Comportamiento-Organizacional-se-est-guardando-incorrecta-294c2908051780eb9633c567aa810212?v=28dc2908051780a3b129000c18d2171d&amp;source=copy_link</t>
  </si>
  <si>
    <t>https://www.notion.so/Inconsistencia-en-disponibilidad-de-modalidad-en-l-nea-para-Ingenier-as-294c29080517800991d4fbee65f8322b?v=28dc2908051780a3b129000c18d2171d&amp;source=copy_link</t>
  </si>
  <si>
    <t>Porcentaje</t>
  </si>
  <si>
    <t>Bugs</t>
  </si>
  <si>
    <t>Total</t>
  </si>
  <si>
    <t>Detenido</t>
  </si>
  <si>
    <t>INC-032</t>
  </si>
  <si>
    <t>INC-033</t>
  </si>
  <si>
    <t>INC-034</t>
  </si>
  <si>
    <t>INC-035</t>
  </si>
  <si>
    <t>INC-036</t>
  </si>
  <si>
    <t>INC-037</t>
  </si>
  <si>
    <t>INC-038</t>
  </si>
  <si>
    <t>INC-039</t>
  </si>
  <si>
    <t>INC-040</t>
  </si>
  <si>
    <t>INC-041</t>
  </si>
  <si>
    <t>Reporte de Bugs</t>
  </si>
  <si>
    <t>En respuestas largas Leonardo AI realiza un corte abrupto en el mensaje</t>
  </si>
  <si>
    <t>Leonardo AI indica que se debe completar un formulario en línea pero no proporciona el enlace</t>
  </si>
  <si>
    <t>Flujo estudiante – Cambio de modalidad o carrera no actualiza derivación correctamente</t>
  </si>
  <si>
    <t>Leonardo AI no deriva correctamente al alumno según su perfil académico</t>
  </si>
  <si>
    <t>Leonardo AI indica que no tiene información de costos sin solicitar datos previos del prospecto</t>
  </si>
  <si>
    <t>Leonardo AI asume que el problema de calificaciones erróneas está en Brightspace sin validar el origen</t>
  </si>
  <si>
    <t>Chat-Facebook no registra el nombre del prospecto o estudiante en los atributos del contacto</t>
  </si>
  <si>
    <t>Leonardo asume por defecto que el estudiante de prepa pertenece a la Preparatoria General</t>
  </si>
  <si>
    <t>Leonardo no deriva correctamente a estudiantes de la Licenciatura en Enfermería al solicitar asesorías académicas o baja de carrera</t>
  </si>
  <si>
    <t>Leonardo utiliza “Mientras tanto…” en contexto incorrecto</t>
  </si>
  <si>
    <t>Leonardo no proporciona información sobre la ubicación de las torres de UMM</t>
  </si>
  <si>
    <t>Derivación falla cuando hay acentos en el detalle del trámite (Ejemplo: asesorías académicas)</t>
  </si>
  <si>
    <t>Leonardo no muestra mensaje de error cuando el número de teléfono ya ha sido usado previamente</t>
  </si>
  <si>
    <t>Leonardo confunde Cambio de turno con Revisión de horario en la derivación</t>
  </si>
  <si>
    <t>Corte abrupto en mensajes con mucha información</t>
  </si>
  <si>
    <t>Preparatoria  General/Bivalente – Leonardo autocompleta la información (sede/modalidad) pero pregunta en qué modalidad lo está cursando.</t>
  </si>
  <si>
    <t>Leonardo proporciona el costo del tetramestre en Preparatoria General sin solicitar el turno previamente (Matutino y nocturno difieren)</t>
  </si>
  <si>
    <t xml:space="preserve">Leonardo separa información de costos por turno en Bachillerato Bivalente en Enfermería, aunque los montos son idénticos  </t>
  </si>
  <si>
    <t>Leonardo no proporciona montos de colegiatura para la carrera de Ingeniero Mecánico 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</si>
</sst>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family val="2"/>
      <scheme val="minor"/>
    </font>
    <font>
      <b/>
      <sz val="10"/>
      <color theme="0"/>
      <name val="Aptos Narrow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u/>
      <sz val="11"/>
      <color theme="10"/>
      <name val="Arial"/>
      <family val="2"/>
      <scheme val="minor"/>
    </font>
    <font>
      <u/>
      <sz val="9"/>
      <color theme="10"/>
      <name val="Aptos Narrow"/>
      <family val="2"/>
    </font>
    <font>
      <sz val="11"/>
      <color theme="1"/>
      <name val="Arial"/>
      <family val="2"/>
      <scheme val="minor"/>
    </font>
    <font>
      <sz val="16"/>
      <name val="Chubb Publico App Bold"/>
      <family val="1"/>
    </font>
    <font>
      <sz val="8"/>
      <name val="Arial"/>
      <family val="2"/>
      <scheme val="minor"/>
    </font>
    <font>
      <sz val="10"/>
      <name val="Aptos Narrow"/>
      <family val="2"/>
    </font>
    <font>
      <sz val="9"/>
      <color theme="1"/>
      <name val="Aptos Narrow"/>
      <family val="2"/>
    </font>
    <font>
      <sz val="9"/>
      <color theme="1"/>
      <name val="Arial"/>
      <family val="2"/>
      <scheme val="minor"/>
    </font>
    <font>
      <sz val="9"/>
      <color theme="0"/>
      <name val="Aptos Narrow"/>
      <family val="2"/>
    </font>
    <font>
      <sz val="9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4B4E53"/>
        <bgColor indexed="22"/>
      </patternFill>
    </fill>
    <fill>
      <patternFill patternType="solid">
        <fgColor rgb="FF4B4E53"/>
        <bgColor indexed="64"/>
      </patternFill>
    </fill>
    <fill>
      <patternFill patternType="solid">
        <fgColor rgb="FF6BA0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0" xfId="0" applyAlignment="1">
      <alignment wrapText="1"/>
    </xf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0" fontId="7" fillId="0" borderId="3" xfId="0" applyFont="1" applyBorder="1" applyAlignment="1">
      <alignment horizontal="left" vertical="top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/>
    <xf numFmtId="0" fontId="11" fillId="0" borderId="1" xfId="0" applyFont="1" applyBorder="1"/>
    <xf numFmtId="14" fontId="10" fillId="0" borderId="1" xfId="0" applyNumberFormat="1" applyFont="1" applyBorder="1"/>
    <xf numFmtId="0" fontId="12" fillId="2" borderId="5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3" borderId="0" xfId="0" applyFont="1" applyFill="1" applyBorder="1" applyAlignment="1" applyProtection="1">
      <alignment horizontal="center" vertical="center"/>
      <protection locked="0"/>
    </xf>
    <xf numFmtId="0" fontId="12" fillId="2" borderId="4" xfId="0" applyFont="1" applyFill="1" applyBorder="1" applyAlignment="1">
      <alignment vertical="center"/>
    </xf>
    <xf numFmtId="0" fontId="10" fillId="0" borderId="1" xfId="0" applyFont="1" applyBorder="1" applyAlignment="1">
      <alignment horizontal="center"/>
    </xf>
    <xf numFmtId="0" fontId="10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0" fontId="13" fillId="0" borderId="1" xfId="2" applyNumberFormat="1" applyFont="1" applyBorder="1" applyAlignment="1" applyProtection="1">
      <alignment horizontal="center" vertical="center"/>
    </xf>
    <xf numFmtId="0" fontId="10" fillId="0" borderId="0" xfId="0" applyFont="1"/>
    <xf numFmtId="0" fontId="9" fillId="0" borderId="1" xfId="0" applyFont="1" applyBorder="1" applyAlignment="1" applyProtection="1">
      <alignment horizontal="left" vertical="top" wrapText="1"/>
      <protection locked="0"/>
    </xf>
  </cellXfs>
  <cellStyles count="3">
    <cellStyle name="Hipervínculo" xfId="1" builtinId="8"/>
    <cellStyle name="Normal" xfId="0" builtinId="0"/>
    <cellStyle name="Porcentaje" xfId="2" builtinId="5"/>
  </cellStyles>
  <dxfs count="3"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6BA0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39-4EDE-885A-E646FFB7E2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BugList!$E$4:$G$4</c:f>
              <c:strCache>
                <c:ptCount val="3"/>
                <c:pt idx="0">
                  <c:v>Resuelto</c:v>
                </c:pt>
                <c:pt idx="1">
                  <c:v>Pendiente</c:v>
                </c:pt>
                <c:pt idx="2">
                  <c:v>Detenido</c:v>
                </c:pt>
              </c:strCache>
            </c:strRef>
          </c:cat>
          <c:val>
            <c:numRef>
              <c:f>BugList!$E$6:$G$6</c:f>
              <c:numCache>
                <c:formatCode>0.00%</c:formatCode>
                <c:ptCount val="3"/>
                <c:pt idx="0">
                  <c:v>0.77419354838709675</c:v>
                </c:pt>
                <c:pt idx="1">
                  <c:v>0.12903225806451613</c:v>
                </c:pt>
                <c:pt idx="2">
                  <c:v>9.6774193548387094E-2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9-4EDE-885A-E646FFB7E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114301</xdr:colOff>
      <xdr:row>2</xdr:row>
      <xdr:rowOff>0</xdr:rowOff>
    </xdr:from>
    <xdr:to>
      <xdr:col>2</xdr:col>
      <xdr:colOff>361951</xdr:colOff>
      <xdr:row>14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BD10AD-5E9B-007F-6889-CC9AE6605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FS\ALEMAN\doc%20chubb%20cambio%20formato\Resto%20de%20Documentos%20XLS\TMP_ADC_ChecklistDeAuditoria_CV50001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ulo"/>
      <sheetName val="Resultados"/>
      <sheetName val="Solicitud CV5.00"/>
      <sheetName val="Data"/>
      <sheetName val="Proyectos CV5.00"/>
      <sheetName val="Evidencias"/>
      <sheetName val="Historial"/>
    </sheetNames>
    <sheetDataSet>
      <sheetData sheetId="0"/>
      <sheetData sheetId="1"/>
      <sheetData sheetId="2"/>
      <sheetData sheetId="3">
        <row r="2">
          <cell r="A2" t="str">
            <v>Pte. Revisión</v>
          </cell>
          <cell r="B2" t="str">
            <v>Conformidad</v>
          </cell>
          <cell r="C2" t="str">
            <v>Proyecto - Nuevo</v>
          </cell>
        </row>
        <row r="3">
          <cell r="A3" t="str">
            <v>Pte. Aprobación</v>
          </cell>
          <cell r="B3" t="str">
            <v>Inconformidad</v>
          </cell>
          <cell r="C3" t="str">
            <v>Proyecto - Mejora</v>
          </cell>
        </row>
        <row r="4">
          <cell r="A4" t="str">
            <v>Cerrado</v>
          </cell>
          <cell r="B4" t="str">
            <v>No aplica</v>
          </cell>
          <cell r="C4" t="str">
            <v>Solicitud - Mantenimiento</v>
          </cell>
        </row>
        <row r="5">
          <cell r="A5" t="str">
            <v>Cancelado</v>
          </cell>
          <cell r="B5" t="str">
            <v>Fuera de Alcance</v>
          </cell>
          <cell r="C5" t="str">
            <v>Solicitud - Error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otion.so/Prospecto-indica-que-est-buscando-opciones-de-estudio-y-Leonardo-le-vuelve-a-preguntar-si-es-estudi-299c2908051780b582a0d253afd238fc?v=28dc2908051780a3b129000c18d2171d&amp;source=copy_link" TargetMode="External"/><Relationship Id="rId13" Type="http://schemas.openxmlformats.org/officeDocument/2006/relationships/hyperlink" Target="https://www.notion.so/Leonardo-AI-no-permite-cambiar-de-modalidad-cuando-ya-hay-una-asignada-al-prospecto-usuario-293c29080517809186e6e456078b5dcd?v=28dc2908051780a3b129000c18d2171d&amp;source=copy_link" TargetMode="External"/><Relationship Id="rId18" Type="http://schemas.openxmlformats.org/officeDocument/2006/relationships/hyperlink" Target="https://www.notion.so/Leonardo-AI-no-deriva-correctamente-solicitud-de-revisi-n-de-ex-menes-294c2908051780be8163ee24db2ac2de?v=28dc2908051780a3b129000c18d2171d&amp;source=copy_link" TargetMode="External"/><Relationship Id="rId3" Type="http://schemas.openxmlformats.org/officeDocument/2006/relationships/hyperlink" Target="https://www.notion.so/No-se-est-generando-el-lead-correctamente-tras-recibir-los-datos-del-usuario-28dc2908051780dda5a2ecaf0b0862b0?v=28dc2908051780a3b129000c18d2171d&amp;source=copy_link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notion.so/Leonardo-AI-indica-que-la-carrera-de-Cirujano-Dentista-tiene-turnos-matutino-y-vespertino-cuando-so-299c290805178017baaef1dfb4d609f9?v=28dc2908051780a3b129000c18d2171d&amp;source=copy_link" TargetMode="External"/><Relationship Id="rId12" Type="http://schemas.openxmlformats.org/officeDocument/2006/relationships/hyperlink" Target="https://www.notion.so/Sin-respuesta-en-interacci-n-timeout-y-o-lentitud-Bedrock-28dc290805178040bd9ce547793872b1?v=28dc2908051780a3b129000c18d2171d&amp;source=copy_link" TargetMode="External"/><Relationship Id="rId17" Type="http://schemas.openxmlformats.org/officeDocument/2006/relationships/hyperlink" Target="https://www.notion.so/Leonardo-AI-indica-que-la-carrera-Contador-P-blico-y-Finanzas-no-est-disponible-en-modalidad-AulaFl-294c290805178011b85beb2f14e488af?v=28dc2908051780a3b129000c18d2171d&amp;source=copy_link" TargetMode="External"/><Relationship Id="rId2" Type="http://schemas.openxmlformats.org/officeDocument/2006/relationships/hyperlink" Target="https://www.notion.so/Los-correos-electr-nicos-no-se-muestran-correctamente-en-las-respuestas-del-bot-aparecen-enmascarad-28dc2908051780aa941ac354606f593f?v=28dc2908051780a3b129000c18d2171d&amp;source=copy_link" TargetMode="External"/><Relationship Id="rId16" Type="http://schemas.openxmlformats.org/officeDocument/2006/relationships/hyperlink" Target="https://www.notion.so/Leonardo-AI-indica-que-la-Prepa-Bivalente-en-Enfermer-a-no-est-disponible-en-AulaFlex-cuando-esa-e-294c290805178059b3ffe646f62bde7c?v=28dc2908051780a3b129000c18d2171d&amp;source=copy_link" TargetMode="External"/><Relationship Id="rId20" Type="http://schemas.openxmlformats.org/officeDocument/2006/relationships/hyperlink" Target="https://www.notion.so/Inconsistencia-en-disponibilidad-de-modalidad-en-l-nea-para-Ingenier-as-294c29080517800991d4fbee65f8322b?v=28dc2908051780a3b129000c18d2171d&amp;source=copy_link" TargetMode="External"/><Relationship Id="rId1" Type="http://schemas.openxmlformats.org/officeDocument/2006/relationships/hyperlink" Target="https://www.notion.so/Al-cerrar-Botones-Salir-y-X-el-chat-no-se-reinicia-la-interacci-n-ni-se-solicita-nuevamente-el-no-28dc29080517806b9aacc8097d0444e2?v=28dc2908051780a3b129000c18d2171d&amp;source=copy_link" TargetMode="External"/><Relationship Id="rId6" Type="http://schemas.openxmlformats.org/officeDocument/2006/relationships/hyperlink" Target="https://www.notion.so/El-sistema-acepta-como-v-lidos-Turnos-y-Sedes-que-no-corresponden-a-la-Modalidad-Carrera-28dc2908051780bb8377d999dc4c5833?v=28dc2908051780a3b129000c18d2171d&amp;source=copy_link" TargetMode="External"/><Relationship Id="rId11" Type="http://schemas.openxmlformats.org/officeDocument/2006/relationships/hyperlink" Target="https://www.notion.so/Leonardo-AI-genera-la-respuesta-pero-tardan-en-verse-reflejadas-en-el-front-28dc2908051780d189e2c83931742453?v=28dc2908051780a3b129000c18d2171d&amp;source=copy_link" TargetMode="External"/><Relationship Id="rId5" Type="http://schemas.openxmlformats.org/officeDocument/2006/relationships/hyperlink" Target="https://www.notion.so/Inconsistencia-en-la-modalidad-AulaFlex-para-Maestr-a-en-Derecho-Penal-28dc290805178044acd1ca2c773d5f67?v=28dc2908051780a3b129000c18d2171d&amp;source=copy_link" TargetMode="External"/><Relationship Id="rId15" Type="http://schemas.openxmlformats.org/officeDocument/2006/relationships/hyperlink" Target="https://www.notion.so/Inconsistencia-en-saltos-de-l-nea-en-respuestas-del-bot-294c2908051780bba465e5df3004b5b6?v=28dc2908051780a3b129000c18d2171d&amp;source=copy_link" TargetMode="External"/><Relationship Id="rId10" Type="http://schemas.openxmlformats.org/officeDocument/2006/relationships/hyperlink" Target="https://www.notion.so/Licenciatura-en-Enfermer-a-en-modalidad-AulaFlex-indica-tener-turno-nocturno-pero-luego-lo-niega-28fc290805178096aa74f357d54c38f1?v=28dc2908051780a3b129000c18d2171d&amp;source=copy_link" TargetMode="External"/><Relationship Id="rId19" Type="http://schemas.openxmlformats.org/officeDocument/2006/relationships/hyperlink" Target="https://www.notion.so/El-nombre-de-la-carrera-Licenciatura-en-Comportamiento-Organizacional-se-est-guardando-incorrecta-294c2908051780eb9633c567aa810212?v=28dc2908051780a3b129000c18d2171d&amp;source=copy_link" TargetMode="External"/><Relationship Id="rId4" Type="http://schemas.openxmlformats.org/officeDocument/2006/relationships/hyperlink" Target="https://www.notion.so/El-bot-deja-de-responder-28dc2908051780a89fd5c8bffdb09e2d?v=28dc2908051780a3b129000c18d2171d&amp;source=copy_link" TargetMode="External"/><Relationship Id="rId9" Type="http://schemas.openxmlformats.org/officeDocument/2006/relationships/hyperlink" Target="https://www.notion.so/Alumno-comenta-que-est-en-modalidad-Ejecutivo-Aulaflex-solo-turno-nocturno-Leonardo-pregunta-si--299c290805178003895cc2674de4d974?v=28dc2908051780a3b129000c18d2171d&amp;source=copy_link" TargetMode="External"/><Relationship Id="rId14" Type="http://schemas.openxmlformats.org/officeDocument/2006/relationships/hyperlink" Target="https://www.notion.so/Leonardo-AI-no-permite-cambiar-de-modalidad-cuando-ya-hay-una-asignada-al-prospecto-usuario-293c29080517809186e6e456078b5dcd?v=28dc2908051780a3b129000c18d2171d&amp;source=copy_link" TargetMode="External"/><Relationship Id="rId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7DAD-5DDD-4BD6-84FE-9FB9F1E5A254}">
  <dimension ref="A1:H57"/>
  <sheetViews>
    <sheetView tabSelected="1" workbookViewId="0">
      <selection activeCell="C24" sqref="C24"/>
    </sheetView>
  </sheetViews>
  <sheetFormatPr baseColWidth="10" defaultRowHeight="14.25"/>
  <cols>
    <col min="2" max="2" width="40.25" customWidth="1"/>
    <col min="5" max="5" width="15.25" customWidth="1"/>
    <col min="6" max="6" width="14.125" customWidth="1"/>
    <col min="7" max="7" width="12.625" customWidth="1"/>
    <col min="8" max="8" width="11" style="4"/>
  </cols>
  <sheetData>
    <row r="1" spans="1:8" ht="20.25">
      <c r="A1" s="7" t="s">
        <v>104</v>
      </c>
    </row>
    <row r="3" spans="1:8">
      <c r="D3" s="14" t="s">
        <v>91</v>
      </c>
      <c r="E3" s="15"/>
      <c r="F3" s="15"/>
      <c r="G3" s="15"/>
      <c r="H3" s="15"/>
    </row>
    <row r="4" spans="1:8">
      <c r="D4" s="16" t="s">
        <v>2</v>
      </c>
      <c r="E4" s="17" t="s">
        <v>17</v>
      </c>
      <c r="F4" s="18" t="s">
        <v>9</v>
      </c>
      <c r="G4" s="19" t="s">
        <v>93</v>
      </c>
      <c r="H4" s="20" t="s">
        <v>92</v>
      </c>
    </row>
    <row r="5" spans="1:8">
      <c r="D5" s="21"/>
      <c r="E5" s="22">
        <f>COUNTIF(BugList!C16:C47,"Resuelto")</f>
        <v>24</v>
      </c>
      <c r="F5" s="23">
        <f>COUNTIF(BugList!C16:C47,"Pendiente")</f>
        <v>4</v>
      </c>
      <c r="G5" s="22">
        <f>COUNTIF(BugList!C16:C47,"Detenido")</f>
        <v>3</v>
      </c>
      <c r="H5" s="24">
        <f>SUM(E5:G5)</f>
        <v>31</v>
      </c>
    </row>
    <row r="6" spans="1:8">
      <c r="D6" s="25" t="s">
        <v>90</v>
      </c>
      <c r="E6" s="26">
        <f>(E5)/H5</f>
        <v>0.77419354838709675</v>
      </c>
      <c r="F6" s="26">
        <f>(F5)/H5</f>
        <v>0.12903225806451613</v>
      </c>
      <c r="G6" s="26">
        <f>(G5)/H5</f>
        <v>9.6774193548387094E-2</v>
      </c>
      <c r="H6" s="27"/>
    </row>
    <row r="16" spans="1:8">
      <c r="A16" s="8" t="s">
        <v>0</v>
      </c>
      <c r="B16" s="8" t="s">
        <v>1</v>
      </c>
      <c r="C16" s="8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68</v>
      </c>
    </row>
    <row r="17" spans="1:8" ht="27" customHeight="1">
      <c r="A17" s="1" t="s">
        <v>7</v>
      </c>
      <c r="B17" s="10" t="s">
        <v>32</v>
      </c>
      <c r="C17" s="28" t="s">
        <v>17</v>
      </c>
      <c r="D17" s="11" t="s">
        <v>18</v>
      </c>
      <c r="E17" s="2" t="s">
        <v>11</v>
      </c>
      <c r="F17" s="13">
        <v>45951</v>
      </c>
      <c r="G17" s="2" t="s">
        <v>14</v>
      </c>
      <c r="H17" s="5" t="s">
        <v>69</v>
      </c>
    </row>
    <row r="18" spans="1:8" ht="27" customHeight="1">
      <c r="A18" s="1" t="s">
        <v>12</v>
      </c>
      <c r="B18" s="10" t="s">
        <v>34</v>
      </c>
      <c r="C18" s="28" t="s">
        <v>17</v>
      </c>
      <c r="D18" s="11" t="s">
        <v>18</v>
      </c>
      <c r="E18" s="2" t="s">
        <v>11</v>
      </c>
      <c r="F18" s="13">
        <v>45951</v>
      </c>
      <c r="G18" s="2" t="s">
        <v>14</v>
      </c>
      <c r="H18" s="6" t="s">
        <v>70</v>
      </c>
    </row>
    <row r="19" spans="1:8" ht="27" customHeight="1">
      <c r="A19" s="1" t="s">
        <v>15</v>
      </c>
      <c r="B19" s="10" t="s">
        <v>29</v>
      </c>
      <c r="C19" s="28" t="s">
        <v>17</v>
      </c>
      <c r="D19" s="11" t="s">
        <v>18</v>
      </c>
      <c r="E19" s="2" t="s">
        <v>11</v>
      </c>
      <c r="F19" s="13">
        <v>45951</v>
      </c>
      <c r="G19" s="2" t="s">
        <v>14</v>
      </c>
      <c r="H19" s="6" t="s">
        <v>71</v>
      </c>
    </row>
    <row r="20" spans="1:8" ht="15.75" customHeight="1">
      <c r="A20" s="1" t="s">
        <v>19</v>
      </c>
      <c r="B20" s="10" t="s">
        <v>24</v>
      </c>
      <c r="C20" s="28" t="s">
        <v>9</v>
      </c>
      <c r="D20" s="11" t="s">
        <v>18</v>
      </c>
      <c r="E20" s="2" t="s">
        <v>11</v>
      </c>
      <c r="F20" s="13">
        <v>45947</v>
      </c>
      <c r="G20" s="2" t="s">
        <v>14</v>
      </c>
      <c r="H20" s="6" t="s">
        <v>72</v>
      </c>
    </row>
    <row r="21" spans="1:8" ht="27" customHeight="1">
      <c r="A21" s="1" t="s">
        <v>21</v>
      </c>
      <c r="B21" s="10" t="s">
        <v>22</v>
      </c>
      <c r="C21" s="28" t="s">
        <v>17</v>
      </c>
      <c r="D21" s="11" t="s">
        <v>18</v>
      </c>
      <c r="E21" s="2" t="s">
        <v>11</v>
      </c>
      <c r="F21" s="13">
        <v>45946</v>
      </c>
      <c r="G21" s="2" t="s">
        <v>14</v>
      </c>
      <c r="H21" s="6" t="s">
        <v>73</v>
      </c>
    </row>
    <row r="22" spans="1:8" ht="27" customHeight="1">
      <c r="A22" s="1" t="s">
        <v>23</v>
      </c>
      <c r="B22" s="10" t="s">
        <v>20</v>
      </c>
      <c r="C22" s="28" t="s">
        <v>17</v>
      </c>
      <c r="D22" s="11" t="s">
        <v>18</v>
      </c>
      <c r="E22" s="2" t="s">
        <v>11</v>
      </c>
      <c r="F22" s="13">
        <v>45946</v>
      </c>
      <c r="G22" s="2" t="s">
        <v>14</v>
      </c>
      <c r="H22" s="6" t="s">
        <v>74</v>
      </c>
    </row>
    <row r="23" spans="1:8" ht="27" customHeight="1">
      <c r="A23" s="1" t="s">
        <v>25</v>
      </c>
      <c r="B23" s="10" t="s">
        <v>13</v>
      </c>
      <c r="C23" s="28" t="s">
        <v>17</v>
      </c>
      <c r="D23" s="11" t="s">
        <v>10</v>
      </c>
      <c r="E23" s="2" t="s">
        <v>11</v>
      </c>
      <c r="F23" s="13">
        <v>45945</v>
      </c>
      <c r="G23" s="2" t="s">
        <v>14</v>
      </c>
      <c r="H23" s="6" t="s">
        <v>79</v>
      </c>
    </row>
    <row r="24" spans="1:8" ht="27" customHeight="1">
      <c r="A24" s="1" t="s">
        <v>28</v>
      </c>
      <c r="B24" s="10" t="s">
        <v>8</v>
      </c>
      <c r="C24" s="28" t="s">
        <v>93</v>
      </c>
      <c r="D24" s="11" t="s">
        <v>10</v>
      </c>
      <c r="E24" s="2" t="s">
        <v>11</v>
      </c>
      <c r="F24" s="13">
        <v>45945</v>
      </c>
      <c r="G24" s="2" t="s">
        <v>30</v>
      </c>
      <c r="H24" s="6" t="s">
        <v>80</v>
      </c>
    </row>
    <row r="25" spans="1:8" ht="27" customHeight="1">
      <c r="A25" s="1" t="s">
        <v>31</v>
      </c>
      <c r="B25" s="10" t="s">
        <v>16</v>
      </c>
      <c r="C25" s="28" t="s">
        <v>17</v>
      </c>
      <c r="D25" s="11" t="s">
        <v>18</v>
      </c>
      <c r="E25" s="2" t="s">
        <v>11</v>
      </c>
      <c r="F25" s="13">
        <v>45945</v>
      </c>
      <c r="G25" s="2" t="s">
        <v>14</v>
      </c>
      <c r="H25" s="6" t="s">
        <v>81</v>
      </c>
    </row>
    <row r="26" spans="1:8" ht="18" customHeight="1">
      <c r="A26" s="1" t="s">
        <v>33</v>
      </c>
      <c r="B26" s="10" t="s">
        <v>26</v>
      </c>
      <c r="C26" s="28" t="s">
        <v>17</v>
      </c>
      <c r="D26" s="11" t="s">
        <v>27</v>
      </c>
      <c r="E26" s="2" t="s">
        <v>11</v>
      </c>
      <c r="F26" s="13">
        <v>45947</v>
      </c>
      <c r="G26" s="2" t="s">
        <v>14</v>
      </c>
      <c r="H26" s="6" t="s">
        <v>82</v>
      </c>
    </row>
    <row r="27" spans="1:8" ht="27" customHeight="1">
      <c r="A27" s="1" t="s">
        <v>35</v>
      </c>
      <c r="B27" s="10" t="s">
        <v>38</v>
      </c>
      <c r="C27" s="28" t="s">
        <v>17</v>
      </c>
      <c r="D27" s="11" t="s">
        <v>10</v>
      </c>
      <c r="E27" s="2" t="s">
        <v>11</v>
      </c>
      <c r="F27" s="13">
        <v>45951</v>
      </c>
      <c r="G27" s="2" t="s">
        <v>14</v>
      </c>
      <c r="H27" s="6" t="s">
        <v>83</v>
      </c>
    </row>
    <row r="28" spans="1:8" ht="27" customHeight="1">
      <c r="A28" s="1" t="s">
        <v>37</v>
      </c>
      <c r="B28" s="10" t="s">
        <v>36</v>
      </c>
      <c r="C28" s="28" t="s">
        <v>17</v>
      </c>
      <c r="D28" s="11" t="s">
        <v>10</v>
      </c>
      <c r="E28" s="2" t="s">
        <v>11</v>
      </c>
      <c r="F28" s="13">
        <v>45951</v>
      </c>
      <c r="G28" s="2" t="s">
        <v>14</v>
      </c>
      <c r="H28" s="6" t="s">
        <v>83</v>
      </c>
    </row>
    <row r="29" spans="1:8" ht="15.75" customHeight="1">
      <c r="A29" s="1" t="s">
        <v>39</v>
      </c>
      <c r="B29" s="10" t="s">
        <v>40</v>
      </c>
      <c r="C29" s="28" t="s">
        <v>93</v>
      </c>
      <c r="D29" s="11" t="s">
        <v>27</v>
      </c>
      <c r="E29" s="2" t="s">
        <v>11</v>
      </c>
      <c r="F29" s="13">
        <v>45952</v>
      </c>
      <c r="G29" s="2"/>
      <c r="H29" s="6" t="s">
        <v>84</v>
      </c>
    </row>
    <row r="30" spans="1:8" ht="27" customHeight="1">
      <c r="A30" s="1" t="s">
        <v>41</v>
      </c>
      <c r="B30" s="10" t="s">
        <v>42</v>
      </c>
      <c r="C30" s="28" t="s">
        <v>17</v>
      </c>
      <c r="D30" s="11" t="s">
        <v>18</v>
      </c>
      <c r="E30" s="2" t="s">
        <v>11</v>
      </c>
      <c r="F30" s="13">
        <v>45952</v>
      </c>
      <c r="G30" s="2" t="s">
        <v>14</v>
      </c>
      <c r="H30" s="6" t="s">
        <v>85</v>
      </c>
    </row>
    <row r="31" spans="1:8" ht="27" customHeight="1">
      <c r="A31" s="1" t="s">
        <v>43</v>
      </c>
      <c r="B31" s="10" t="s">
        <v>44</v>
      </c>
      <c r="C31" s="28" t="s">
        <v>17</v>
      </c>
      <c r="D31" s="11" t="s">
        <v>18</v>
      </c>
      <c r="E31" s="2" t="s">
        <v>11</v>
      </c>
      <c r="F31" s="13">
        <v>45953</v>
      </c>
      <c r="G31" s="2" t="s">
        <v>14</v>
      </c>
      <c r="H31" s="6" t="s">
        <v>86</v>
      </c>
    </row>
    <row r="32" spans="1:8" ht="27" customHeight="1">
      <c r="A32" s="1" t="s">
        <v>45</v>
      </c>
      <c r="B32" s="10" t="s">
        <v>46</v>
      </c>
      <c r="C32" s="28" t="s">
        <v>17</v>
      </c>
      <c r="D32" s="11" t="s">
        <v>10</v>
      </c>
      <c r="E32" s="2" t="s">
        <v>11</v>
      </c>
      <c r="F32" s="13">
        <v>45953</v>
      </c>
      <c r="G32" s="2" t="s">
        <v>14</v>
      </c>
      <c r="H32" s="6" t="s">
        <v>87</v>
      </c>
    </row>
    <row r="33" spans="1:8" ht="27" customHeight="1">
      <c r="A33" s="3" t="s">
        <v>47</v>
      </c>
      <c r="B33" s="10" t="s">
        <v>48</v>
      </c>
      <c r="C33" s="28" t="s">
        <v>93</v>
      </c>
      <c r="D33" s="11" t="s">
        <v>10</v>
      </c>
      <c r="E33" s="2" t="s">
        <v>11</v>
      </c>
      <c r="F33" s="13">
        <v>45954</v>
      </c>
      <c r="G33" s="2" t="s">
        <v>14</v>
      </c>
      <c r="H33" s="6" t="s">
        <v>88</v>
      </c>
    </row>
    <row r="34" spans="1:8" ht="27" customHeight="1">
      <c r="A34" s="3" t="s">
        <v>49</v>
      </c>
      <c r="B34" s="10" t="s">
        <v>50</v>
      </c>
      <c r="C34" s="28" t="s">
        <v>17</v>
      </c>
      <c r="D34" s="11" t="s">
        <v>18</v>
      </c>
      <c r="E34" s="2" t="s">
        <v>11</v>
      </c>
      <c r="F34" s="13">
        <v>45954</v>
      </c>
      <c r="G34" s="2" t="s">
        <v>14</v>
      </c>
      <c r="H34" s="6" t="s">
        <v>89</v>
      </c>
    </row>
    <row r="35" spans="1:8" ht="27" customHeight="1">
      <c r="A35" s="3" t="s">
        <v>51</v>
      </c>
      <c r="B35" s="10" t="s">
        <v>52</v>
      </c>
      <c r="C35" s="28" t="s">
        <v>17</v>
      </c>
      <c r="D35" s="11" t="s">
        <v>10</v>
      </c>
      <c r="E35" s="2" t="s">
        <v>11</v>
      </c>
      <c r="F35" s="13">
        <v>45957</v>
      </c>
      <c r="G35" s="2" t="s">
        <v>14</v>
      </c>
      <c r="H35" s="6" t="s">
        <v>78</v>
      </c>
    </row>
    <row r="36" spans="1:8" ht="27" customHeight="1">
      <c r="A36" s="3" t="s">
        <v>53</v>
      </c>
      <c r="B36" s="10" t="s">
        <v>54</v>
      </c>
      <c r="C36" s="28" t="s">
        <v>17</v>
      </c>
      <c r="D36" s="11" t="s">
        <v>10</v>
      </c>
      <c r="E36" s="2" t="s">
        <v>11</v>
      </c>
      <c r="F36" s="13">
        <v>45957</v>
      </c>
      <c r="G36" s="2" t="s">
        <v>14</v>
      </c>
      <c r="H36" s="6" t="s">
        <v>77</v>
      </c>
    </row>
    <row r="37" spans="1:8" ht="27" customHeight="1">
      <c r="A37" s="3" t="s">
        <v>55</v>
      </c>
      <c r="B37" s="10" t="s">
        <v>66</v>
      </c>
      <c r="C37" s="28" t="s">
        <v>17</v>
      </c>
      <c r="D37" s="11" t="s">
        <v>18</v>
      </c>
      <c r="E37" s="2" t="s">
        <v>11</v>
      </c>
      <c r="F37" s="13">
        <v>45957</v>
      </c>
      <c r="G37" s="2" t="s">
        <v>14</v>
      </c>
      <c r="H37" s="6" t="s">
        <v>76</v>
      </c>
    </row>
    <row r="38" spans="1:8" ht="27" customHeight="1">
      <c r="A38" s="3" t="s">
        <v>56</v>
      </c>
      <c r="B38" s="10" t="s">
        <v>67</v>
      </c>
      <c r="C38" s="28" t="s">
        <v>17</v>
      </c>
      <c r="D38" s="11" t="s">
        <v>18</v>
      </c>
      <c r="E38" s="2" t="s">
        <v>11</v>
      </c>
      <c r="F38" s="13">
        <v>45958</v>
      </c>
      <c r="G38" s="2" t="s">
        <v>14</v>
      </c>
      <c r="H38" s="6" t="s">
        <v>75</v>
      </c>
    </row>
    <row r="39" spans="1:8" ht="27" customHeight="1">
      <c r="A39" s="3" t="s">
        <v>57</v>
      </c>
      <c r="B39" s="10" t="s">
        <v>105</v>
      </c>
      <c r="C39" s="28" t="s">
        <v>17</v>
      </c>
      <c r="D39" s="12" t="s">
        <v>10</v>
      </c>
      <c r="E39" s="2" t="s">
        <v>11</v>
      </c>
      <c r="F39" s="13">
        <v>45959</v>
      </c>
      <c r="G39" s="2" t="s">
        <v>14</v>
      </c>
      <c r="H39" s="6"/>
    </row>
    <row r="40" spans="1:8" ht="27" customHeight="1">
      <c r="A40" s="3" t="s">
        <v>58</v>
      </c>
      <c r="B40" s="10" t="s">
        <v>106</v>
      </c>
      <c r="C40" s="28" t="s">
        <v>17</v>
      </c>
      <c r="D40" s="12" t="s">
        <v>10</v>
      </c>
      <c r="E40" s="2" t="s">
        <v>11</v>
      </c>
      <c r="F40" s="13">
        <v>45959</v>
      </c>
      <c r="G40" s="2" t="s">
        <v>14</v>
      </c>
      <c r="H40" s="6"/>
    </row>
    <row r="41" spans="1:8" ht="27" customHeight="1">
      <c r="A41" s="3" t="s">
        <v>59</v>
      </c>
      <c r="B41" s="10" t="s">
        <v>107</v>
      </c>
      <c r="C41" s="28" t="s">
        <v>9</v>
      </c>
      <c r="D41" s="12" t="s">
        <v>10</v>
      </c>
      <c r="E41" s="2" t="s">
        <v>11</v>
      </c>
      <c r="F41" s="13">
        <v>45960</v>
      </c>
      <c r="G41" s="2" t="s">
        <v>14</v>
      </c>
      <c r="H41" s="6"/>
    </row>
    <row r="42" spans="1:8" ht="27" customHeight="1">
      <c r="A42" s="3" t="s">
        <v>60</v>
      </c>
      <c r="B42" s="10" t="s">
        <v>108</v>
      </c>
      <c r="C42" s="28" t="s">
        <v>9</v>
      </c>
      <c r="D42" s="12" t="s">
        <v>18</v>
      </c>
      <c r="E42" s="2" t="s">
        <v>11</v>
      </c>
      <c r="F42" s="13">
        <v>45960</v>
      </c>
      <c r="G42" s="2" t="s">
        <v>14</v>
      </c>
      <c r="H42" s="6"/>
    </row>
    <row r="43" spans="1:8" ht="27" customHeight="1">
      <c r="A43" s="3" t="s">
        <v>61</v>
      </c>
      <c r="B43" s="10" t="s">
        <v>109</v>
      </c>
      <c r="C43" s="28" t="s">
        <v>17</v>
      </c>
      <c r="D43" s="12" t="s">
        <v>18</v>
      </c>
      <c r="E43" s="2" t="s">
        <v>11</v>
      </c>
      <c r="F43" s="13">
        <v>45961</v>
      </c>
      <c r="G43" s="2" t="s">
        <v>14</v>
      </c>
      <c r="H43" s="6"/>
    </row>
    <row r="44" spans="1:8" ht="27" customHeight="1">
      <c r="A44" s="3" t="s">
        <v>62</v>
      </c>
      <c r="B44" s="10" t="s">
        <v>110</v>
      </c>
      <c r="C44" s="28" t="s">
        <v>17</v>
      </c>
      <c r="D44" s="12" t="s">
        <v>18</v>
      </c>
      <c r="E44" s="2" t="s">
        <v>11</v>
      </c>
      <c r="F44" s="13">
        <v>45994</v>
      </c>
      <c r="G44" s="2" t="s">
        <v>14</v>
      </c>
      <c r="H44" s="6"/>
    </row>
    <row r="45" spans="1:8" ht="27" customHeight="1">
      <c r="A45" s="3" t="s">
        <v>63</v>
      </c>
      <c r="B45" s="10" t="s">
        <v>111</v>
      </c>
      <c r="C45" s="28" t="s">
        <v>17</v>
      </c>
      <c r="D45" s="12" t="s">
        <v>10</v>
      </c>
      <c r="E45" s="2" t="s">
        <v>11</v>
      </c>
      <c r="F45" s="13">
        <v>45982</v>
      </c>
      <c r="G45" s="2" t="s">
        <v>14</v>
      </c>
      <c r="H45" s="6"/>
    </row>
    <row r="46" spans="1:8" ht="27" customHeight="1">
      <c r="A46" s="3" t="s">
        <v>64</v>
      </c>
      <c r="B46" s="10" t="s">
        <v>112</v>
      </c>
      <c r="C46" s="28" t="s">
        <v>9</v>
      </c>
      <c r="D46" s="12" t="s">
        <v>27</v>
      </c>
      <c r="E46" s="2" t="s">
        <v>11</v>
      </c>
      <c r="F46" s="13">
        <v>45994</v>
      </c>
      <c r="G46" s="2" t="s">
        <v>14</v>
      </c>
      <c r="H46" s="6"/>
    </row>
    <row r="47" spans="1:8" ht="27" customHeight="1">
      <c r="A47" s="3" t="s">
        <v>65</v>
      </c>
      <c r="B47" s="10" t="s">
        <v>113</v>
      </c>
      <c r="C47" s="28" t="s">
        <v>17</v>
      </c>
      <c r="D47" s="12" t="s">
        <v>18</v>
      </c>
      <c r="E47" s="2" t="s">
        <v>11</v>
      </c>
      <c r="F47" s="13">
        <v>45994</v>
      </c>
      <c r="G47" s="2" t="s">
        <v>14</v>
      </c>
      <c r="H47" s="6"/>
    </row>
    <row r="48" spans="1:8" ht="15">
      <c r="A48" s="3" t="s">
        <v>94</v>
      </c>
      <c r="B48" s="11" t="s">
        <v>114</v>
      </c>
      <c r="C48" s="28" t="s">
        <v>9</v>
      </c>
      <c r="D48" s="12" t="s">
        <v>27</v>
      </c>
      <c r="E48" s="2" t="s">
        <v>11</v>
      </c>
      <c r="F48" s="13">
        <v>45994</v>
      </c>
      <c r="G48" s="2" t="s">
        <v>14</v>
      </c>
      <c r="H48" s="9"/>
    </row>
    <row r="49" spans="1:8" ht="15">
      <c r="A49" s="3" t="s">
        <v>95</v>
      </c>
      <c r="B49" s="11" t="s">
        <v>115</v>
      </c>
      <c r="C49" s="28" t="s">
        <v>9</v>
      </c>
      <c r="D49" s="12" t="s">
        <v>27</v>
      </c>
      <c r="E49" s="2" t="s">
        <v>11</v>
      </c>
      <c r="F49" s="13">
        <v>45995</v>
      </c>
      <c r="G49" s="2" t="s">
        <v>14</v>
      </c>
      <c r="H49" s="9"/>
    </row>
    <row r="50" spans="1:8" ht="15">
      <c r="A50" s="3" t="s">
        <v>96</v>
      </c>
      <c r="B50" s="11" t="s">
        <v>116</v>
      </c>
      <c r="C50" s="28" t="s">
        <v>17</v>
      </c>
      <c r="D50" s="12" t="s">
        <v>18</v>
      </c>
      <c r="E50" s="2" t="s">
        <v>11</v>
      </c>
      <c r="F50" s="13">
        <v>45995</v>
      </c>
      <c r="G50" s="2" t="s">
        <v>14</v>
      </c>
      <c r="H50" s="9"/>
    </row>
    <row r="51" spans="1:8" ht="15">
      <c r="A51" s="3" t="s">
        <v>97</v>
      </c>
      <c r="B51" s="11" t="s">
        <v>117</v>
      </c>
      <c r="C51" s="28" t="s">
        <v>9</v>
      </c>
      <c r="D51" s="12" t="s">
        <v>18</v>
      </c>
      <c r="E51" s="2" t="s">
        <v>11</v>
      </c>
      <c r="F51" s="13">
        <v>45995</v>
      </c>
      <c r="G51" s="2" t="s">
        <v>14</v>
      </c>
      <c r="H51" s="9"/>
    </row>
    <row r="52" spans="1:8" ht="15">
      <c r="A52" s="3" t="s">
        <v>98</v>
      </c>
      <c r="B52" s="11" t="s">
        <v>118</v>
      </c>
      <c r="C52" s="28" t="s">
        <v>17</v>
      </c>
      <c r="D52" s="12" t="s">
        <v>18</v>
      </c>
      <c r="E52" s="2" t="s">
        <v>11</v>
      </c>
      <c r="F52" s="13">
        <v>45995</v>
      </c>
      <c r="G52" s="2" t="s">
        <v>14</v>
      </c>
      <c r="H52" s="9"/>
    </row>
    <row r="53" spans="1:8" ht="15">
      <c r="A53" s="3" t="s">
        <v>99</v>
      </c>
      <c r="B53" s="11" t="s">
        <v>119</v>
      </c>
      <c r="C53" s="28" t="s">
        <v>17</v>
      </c>
      <c r="D53" s="12" t="s">
        <v>10</v>
      </c>
      <c r="E53" s="2" t="s">
        <v>11</v>
      </c>
      <c r="F53" s="13">
        <v>45996</v>
      </c>
      <c r="G53" s="2" t="s">
        <v>14</v>
      </c>
      <c r="H53" s="9"/>
    </row>
    <row r="54" spans="1:8" ht="15">
      <c r="A54" s="3" t="s">
        <v>100</v>
      </c>
      <c r="B54" s="11" t="s">
        <v>120</v>
      </c>
      <c r="C54" s="28" t="s">
        <v>17</v>
      </c>
      <c r="D54" s="12" t="s">
        <v>10</v>
      </c>
      <c r="E54" s="2" t="s">
        <v>11</v>
      </c>
      <c r="F54" s="13">
        <v>45999</v>
      </c>
      <c r="G54" s="2" t="s">
        <v>14</v>
      </c>
      <c r="H54" s="9"/>
    </row>
    <row r="55" spans="1:8" ht="15">
      <c r="A55" s="3" t="s">
        <v>101</v>
      </c>
      <c r="B55" s="11" t="s">
        <v>121</v>
      </c>
      <c r="C55" s="28" t="s">
        <v>17</v>
      </c>
      <c r="D55" s="12" t="s">
        <v>18</v>
      </c>
      <c r="E55" s="2" t="s">
        <v>11</v>
      </c>
      <c r="F55" s="13">
        <v>45999</v>
      </c>
      <c r="G55" s="2" t="s">
        <v>14</v>
      </c>
      <c r="H55" s="9"/>
    </row>
    <row r="56" spans="1:8" ht="15">
      <c r="A56" s="3" t="s">
        <v>102</v>
      </c>
      <c r="B56" s="11" t="s">
        <v>122</v>
      </c>
      <c r="C56" s="28" t="s">
        <v>93</v>
      </c>
      <c r="D56" s="12" t="s">
        <v>10</v>
      </c>
      <c r="E56" s="2" t="s">
        <v>11</v>
      </c>
      <c r="F56" s="13">
        <v>46000</v>
      </c>
      <c r="G56" s="2" t="s">
        <v>14</v>
      </c>
      <c r="H56" s="9"/>
    </row>
    <row r="57" spans="1:8" ht="15">
      <c r="A57" s="3" t="s">
        <v>103</v>
      </c>
      <c r="B57" s="11" t="s">
        <v>123</v>
      </c>
      <c r="C57" s="28" t="s">
        <v>17</v>
      </c>
      <c r="D57" s="12" t="s">
        <v>18</v>
      </c>
      <c r="E57" s="2" t="s">
        <v>11</v>
      </c>
      <c r="F57" s="13">
        <v>46000</v>
      </c>
      <c r="G57" s="2" t="s">
        <v>14</v>
      </c>
      <c r="H57" s="9"/>
    </row>
  </sheetData>
  <autoFilter ref="A16:H57" xr:uid="{B8A77DAD-5DDD-4BD6-84FE-9FB9F1E5A254}"/>
  <mergeCells count="1">
    <mergeCell ref="D3:H3"/>
  </mergeCells>
  <phoneticPr fontId="8" type="noConversion"/>
  <conditionalFormatting sqref="C17:C57">
    <cfRule type="cellIs" dxfId="2" priority="1" stopIfTrue="1" operator="equal">
      <formula>$O$3</formula>
    </cfRule>
    <cfRule type="cellIs" dxfId="1" priority="2" stopIfTrue="1" operator="equal">
      <formula>$P$3</formula>
    </cfRule>
    <cfRule type="cellIs" dxfId="0" priority="3" stopIfTrue="1" operator="equal">
      <formula>$Q$3</formula>
    </cfRule>
  </conditionalFormatting>
  <dataValidations count="1">
    <dataValidation type="list" allowBlank="1" showInputMessage="1" showErrorMessage="1" sqref="C17:C57" xr:uid="{7A495662-6CC4-423A-AAC2-48C2A31707EF}">
      <formula1>"Resuelto,Pendiente,Detenido"</formula1>
    </dataValidation>
  </dataValidations>
  <hyperlinks>
    <hyperlink ref="H17" r:id="rId1" xr:uid="{626F8452-71A0-418D-BFA1-5B22420E3842}"/>
    <hyperlink ref="H18" r:id="rId2" xr:uid="{CC193977-3262-494B-8307-0F48418BDAB0}"/>
    <hyperlink ref="H19" r:id="rId3" xr:uid="{0D22F640-A12B-4AEA-9893-866C67C7106A}"/>
    <hyperlink ref="H20" r:id="rId4" xr:uid="{CEB84AE8-AFE0-450B-938C-CD9D2E85921D}"/>
    <hyperlink ref="H21" r:id="rId5" xr:uid="{58D31989-6776-4D8D-A6E6-CB6BC4887987}"/>
    <hyperlink ref="H22" r:id="rId6" xr:uid="{2A550EF4-D6E2-4AF8-B5B8-24C8AC4C8EBC}"/>
    <hyperlink ref="H38" r:id="rId7" xr:uid="{5FB31E07-AACD-4881-BD36-6AE5B9999665}"/>
    <hyperlink ref="H36" r:id="rId8" xr:uid="{C4AFDAEB-B694-45DB-96E5-13CC2D22B9B5}"/>
    <hyperlink ref="H35" r:id="rId9" xr:uid="{A70A9E9F-BE1C-4D5C-8096-302EBC304AE8}"/>
    <hyperlink ref="H23" r:id="rId10" xr:uid="{3409F004-C0B0-4CC1-A178-C1FC96352878}"/>
    <hyperlink ref="H24" r:id="rId11" xr:uid="{CD93431F-C9C8-4032-BD44-752F1DC34D14}"/>
    <hyperlink ref="H26" r:id="rId12" xr:uid="{F868DCCF-A06D-4D06-9E3B-8397460615E4}"/>
    <hyperlink ref="H27" r:id="rId13" xr:uid="{C468E0CC-50F4-4E51-8D53-7FC400B26656}"/>
    <hyperlink ref="H28" r:id="rId14" xr:uid="{4564F593-73AD-43F0-A7C2-02AA701091C0}"/>
    <hyperlink ref="H29" r:id="rId15" xr:uid="{A4B0B9C2-AD86-44C7-AC3C-BF9630873997}"/>
    <hyperlink ref="H30" r:id="rId16" xr:uid="{A97B570B-A5BC-4A8C-BACD-E8A9E02732EB}"/>
    <hyperlink ref="H31" r:id="rId17" xr:uid="{01266901-CCC2-407C-9034-56CE752A3136}"/>
    <hyperlink ref="H32" r:id="rId18" xr:uid="{734E7F79-21AD-42F5-8825-DB87F89C6A1B}"/>
    <hyperlink ref="H33" r:id="rId19" xr:uid="{BF34C08C-F41E-4D5F-B5F4-C9578026BDBA}"/>
    <hyperlink ref="H34" r:id="rId20" xr:uid="{44F41CA4-404F-4A93-A87A-851C786D21A0}"/>
  </hyperlinks>
  <pageMargins left="0.7" right="0.7" top="0.75" bottom="0.75" header="0.3" footer="0.3"/>
  <pageSetup orientation="portrait" horizontalDpi="1200" verticalDpi="1200" r:id="rId21"/>
  <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BugList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Lozano</dc:creator>
  <cp:lastModifiedBy>Jennifer Lozano</cp:lastModifiedBy>
  <dcterms:created xsi:type="dcterms:W3CDTF">2025-10-28T20:47:00Z</dcterms:created>
  <dcterms:modified xsi:type="dcterms:W3CDTF">2025-12-16T03:19:53Z</dcterms:modified>
</cp:coreProperties>
</file>